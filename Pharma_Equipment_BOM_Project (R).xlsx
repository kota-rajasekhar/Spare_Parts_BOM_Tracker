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7E57BFE-C89D-4732-9458-8C0A6922EE35}" xr6:coauthVersionLast="47" xr6:coauthVersionMax="47" xr10:uidLastSave="{00000000-0000-0000-0000-000000000000}"/>
  <bookViews>
    <workbookView xWindow="-110" yWindow="-110" windowWidth="19420" windowHeight="10420" xr2:uid="{7CE606E8-1A17-49A5-964C-0915D130934D}"/>
  </bookViews>
  <sheets>
    <sheet name="Equipment_Summary" sheetId="1" r:id="rId1"/>
    <sheet name="Bill_of_Material_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H2" i="1"/>
  <c r="H3" i="1"/>
  <c r="H4" i="1"/>
  <c r="H5" i="1"/>
  <c r="H6" i="1"/>
  <c r="H7" i="1"/>
  <c r="H8" i="1"/>
  <c r="H9" i="1"/>
  <c r="H10" i="1"/>
  <c r="H11" i="1"/>
  <c r="H12" i="1"/>
  <c r="H13" i="1"/>
  <c r="E2" i="2"/>
  <c r="A4" i="2" a="1"/>
  <c r="A4" i="2" l="1"/>
  <c r="F6" i="2"/>
  <c r="F5" i="2"/>
  <c r="F4" i="2"/>
  <c r="E5" i="2"/>
  <c r="E4" i="2"/>
  <c r="E6" i="2"/>
  <c r="G6" i="2" l="1"/>
  <c r="G4" i="2"/>
  <c r="G5" i="2"/>
  <c r="G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<sst xmlns="http://schemas.openxmlformats.org/spreadsheetml/2006/main" count="81" uniqueCount="51">
  <si>
    <t>Equipment Code</t>
  </si>
  <si>
    <t>Equipment Name</t>
  </si>
  <si>
    <t>Part Code</t>
  </si>
  <si>
    <t>Material Description</t>
  </si>
  <si>
    <t>Qty per Equipment</t>
  </si>
  <si>
    <t>Unit</t>
  </si>
  <si>
    <t>Unit Cost (INR)</t>
  </si>
  <si>
    <t>RX001</t>
  </si>
  <si>
    <t>Process Reactor</t>
  </si>
  <si>
    <t>SP001</t>
  </si>
  <si>
    <t>Mechanical seal kit</t>
  </si>
  <si>
    <t>Set</t>
  </si>
  <si>
    <t>SP002</t>
  </si>
  <si>
    <t>Gasket set</t>
  </si>
  <si>
    <t>SP003</t>
  </si>
  <si>
    <t>Temperature sensor</t>
  </si>
  <si>
    <t>Nos</t>
  </si>
  <si>
    <t>MT001</t>
  </si>
  <si>
    <t>Mixing Tank</t>
  </si>
  <si>
    <t>SP004</t>
  </si>
  <si>
    <t>Agitator bearing</t>
  </si>
  <si>
    <t>SP005</t>
  </si>
  <si>
    <t>Shaft seal kit</t>
  </si>
  <si>
    <t>SP006</t>
  </si>
  <si>
    <t>Drain valve</t>
  </si>
  <si>
    <t>ST001</t>
  </si>
  <si>
    <t>Storage Vessel</t>
  </si>
  <si>
    <t>SP007</t>
  </si>
  <si>
    <t>Level indicator</t>
  </si>
  <si>
    <t>SP008</t>
  </si>
  <si>
    <t>Outlet valve</t>
  </si>
  <si>
    <t>FL001</t>
  </si>
  <si>
    <t>Process Filter</t>
  </si>
  <si>
    <t>SP009</t>
  </si>
  <si>
    <t>Filter element</t>
  </si>
  <si>
    <t>SP010</t>
  </si>
  <si>
    <t>Filter gasket</t>
  </si>
  <si>
    <t>DR001</t>
  </si>
  <si>
    <t>Process Dryer</t>
  </si>
  <si>
    <t>SP011</t>
  </si>
  <si>
    <t>Door gasket</t>
  </si>
  <si>
    <t>SP012</t>
  </si>
  <si>
    <t>BILL OF MATERIAL LIST</t>
  </si>
  <si>
    <t>ORDER QTY</t>
  </si>
  <si>
    <t>GRAND TOTAL</t>
  </si>
  <si>
    <t>PRODUCT NAME</t>
  </si>
  <si>
    <t>Total Cost (INR)</t>
  </si>
  <si>
    <t>Required Qty</t>
  </si>
  <si>
    <t>Unit Cost (₹)</t>
  </si>
  <si>
    <t>Total Cost (₹)</t>
  </si>
  <si>
    <t>Qty per 
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</si>
</sst>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Fill="1"/>
    <xf numFmtId="0" fontId="7" fillId="4" borderId="0" xfId="0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right" vertical="center"/>
    </xf>
  </cellXfs>
  <cellStyles count="2">
    <cellStyle name="Good" xfId="1" builtinId="26"/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23183-FB12-4E97-9E78-884BF5486BE1}" name="Table1" displayName="Table1" ref="A1:H14" totalsRowShown="0" headerRowDxfId="1">
  <autoFilter ref="A1:H14" xr:uid="{01223183-FB12-4E97-9E78-884BF5486BE1}"/>
  <tableColumns count="8">
    <tableColumn id="1" xr3:uid="{0A686710-5E62-4174-B4D4-60DC9A61E0BE}" name="Equipment Code"/>
    <tableColumn id="2" xr3:uid="{12765F30-95F9-4BD3-A8D2-01DAA99A158F}" name="Equipment Name"/>
    <tableColumn id="3" xr3:uid="{FC1229A8-F937-4929-ABFD-171942882BC9}" name="Part Code"/>
    <tableColumn id="4" xr3:uid="{B8D64A0D-12C8-4331-96D9-5306D54E5CCF}" name="Material Description"/>
    <tableColumn id="5" xr3:uid="{7D1F3EDA-6115-46B9-9A65-DB5946DC6D06}" name="Qty per Equipment"/>
    <tableColumn id="6" xr3:uid="{6CDDEBA1-CA96-4E5C-9D3F-0FEA93074844}" name="Unit"/>
    <tableColumn id="8" xr3:uid="{99375B8C-E419-4EAB-AF55-62CF89ABB22E}" name="Unit Cost (INR)"/>
    <tableColumn id="9" xr3:uid="{F7E1B488-A586-4029-BABA-94C9D60392A1}" name="Total Cost (INR)" dataDxfId="0">
      <calculatedColumnFormula>E2*G2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C3CC-81CF-48DC-8D97-6BF5800CCB70}">
  <dimension ref="A1:H14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16.7265625" customWidth="1"/>
    <col min="2" max="2" width="17.36328125" customWidth="1"/>
    <col min="3" max="3" width="11.08984375" customWidth="1"/>
    <col min="4" max="4" width="19.90625" customWidth="1"/>
    <col min="5" max="5" width="18.7265625" customWidth="1"/>
    <col min="6" max="6" width="8.90625" bestFit="1" customWidth="1"/>
    <col min="7" max="7" width="17.81640625" bestFit="1" customWidth="1"/>
    <col min="8" max="8" width="18.54296875" bestFit="1" customWidth="1"/>
  </cols>
  <sheetData>
    <row r="1" spans="1:8" s="2" customFormat="1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46</v>
      </c>
    </row>
    <row r="2" spans="1:8" x14ac:dyDescent="0.35">
      <c r="A2" s="3" t="s">
        <v>7</v>
      </c>
      <c r="B2" s="3" t="s">
        <v>8</v>
      </c>
      <c r="C2" s="3" t="s">
        <v>9</v>
      </c>
      <c r="D2" s="3" t="s">
        <v>10</v>
      </c>
      <c r="E2" s="3">
        <v>1</v>
      </c>
      <c r="F2" s="3" t="s">
        <v>11</v>
      </c>
      <c r="G2" s="3">
        <v>18000</v>
      </c>
      <c r="H2" s="3">
        <f t="shared" ref="H2:H13" si="0">E2*G2</f>
        <v>18000</v>
      </c>
    </row>
    <row r="3" spans="1:8" x14ac:dyDescent="0.35">
      <c r="A3" s="3" t="s">
        <v>7</v>
      </c>
      <c r="B3" s="3" t="s">
        <v>8</v>
      </c>
      <c r="C3" s="3" t="s">
        <v>12</v>
      </c>
      <c r="D3" s="3" t="s">
        <v>13</v>
      </c>
      <c r="E3" s="3">
        <v>4</v>
      </c>
      <c r="F3" s="3" t="s">
        <v>11</v>
      </c>
      <c r="G3" s="3">
        <v>2500</v>
      </c>
      <c r="H3" s="3">
        <f t="shared" si="0"/>
        <v>10000</v>
      </c>
    </row>
    <row r="4" spans="1:8" x14ac:dyDescent="0.35">
      <c r="A4" s="3" t="s">
        <v>7</v>
      </c>
      <c r="B4" s="3" t="s">
        <v>8</v>
      </c>
      <c r="C4" s="3" t="s">
        <v>14</v>
      </c>
      <c r="D4" s="3" t="s">
        <v>15</v>
      </c>
      <c r="E4" s="3">
        <v>1</v>
      </c>
      <c r="F4" s="3" t="s">
        <v>16</v>
      </c>
      <c r="G4" s="3">
        <v>6000</v>
      </c>
      <c r="H4" s="3">
        <f t="shared" si="0"/>
        <v>6000</v>
      </c>
    </row>
    <row r="5" spans="1:8" x14ac:dyDescent="0.35">
      <c r="A5" s="3" t="s">
        <v>17</v>
      </c>
      <c r="B5" s="3" t="s">
        <v>18</v>
      </c>
      <c r="C5" s="3" t="s">
        <v>19</v>
      </c>
      <c r="D5" s="3" t="s">
        <v>20</v>
      </c>
      <c r="E5" s="3">
        <v>2</v>
      </c>
      <c r="F5" s="3" t="s">
        <v>16</v>
      </c>
      <c r="G5" s="3">
        <v>1800</v>
      </c>
      <c r="H5" s="3">
        <f t="shared" si="0"/>
        <v>3600</v>
      </c>
    </row>
    <row r="6" spans="1:8" x14ac:dyDescent="0.35">
      <c r="A6" s="3" t="s">
        <v>17</v>
      </c>
      <c r="B6" s="3" t="s">
        <v>18</v>
      </c>
      <c r="C6" s="3" t="s">
        <v>21</v>
      </c>
      <c r="D6" s="3" t="s">
        <v>22</v>
      </c>
      <c r="E6" s="3">
        <v>1</v>
      </c>
      <c r="F6" s="3" t="s">
        <v>11</v>
      </c>
      <c r="G6" s="3">
        <v>9500</v>
      </c>
      <c r="H6" s="3">
        <f t="shared" si="0"/>
        <v>9500</v>
      </c>
    </row>
    <row r="7" spans="1:8" x14ac:dyDescent="0.35">
      <c r="A7" s="3" t="s">
        <v>17</v>
      </c>
      <c r="B7" s="3" t="s">
        <v>18</v>
      </c>
      <c r="C7" s="3" t="s">
        <v>23</v>
      </c>
      <c r="D7" s="3" t="s">
        <v>24</v>
      </c>
      <c r="E7" s="3">
        <v>16</v>
      </c>
      <c r="F7" s="3" t="s">
        <v>16</v>
      </c>
      <c r="G7" s="3">
        <v>4200</v>
      </c>
      <c r="H7" s="3">
        <f t="shared" si="0"/>
        <v>67200</v>
      </c>
    </row>
    <row r="8" spans="1:8" x14ac:dyDescent="0.35">
      <c r="A8" s="3" t="s">
        <v>25</v>
      </c>
      <c r="B8" s="3" t="s">
        <v>26</v>
      </c>
      <c r="C8" s="3" t="s">
        <v>27</v>
      </c>
      <c r="D8" s="3" t="s">
        <v>28</v>
      </c>
      <c r="E8" s="3">
        <v>1</v>
      </c>
      <c r="F8" s="3" t="s">
        <v>16</v>
      </c>
      <c r="G8" s="3">
        <v>7500</v>
      </c>
      <c r="H8" s="3">
        <f t="shared" si="0"/>
        <v>7500</v>
      </c>
    </row>
    <row r="9" spans="1:8" x14ac:dyDescent="0.35">
      <c r="A9" s="3" t="s">
        <v>25</v>
      </c>
      <c r="B9" s="3" t="s">
        <v>26</v>
      </c>
      <c r="C9" s="3" t="s">
        <v>29</v>
      </c>
      <c r="D9" s="3" t="s">
        <v>30</v>
      </c>
      <c r="E9" s="3">
        <v>8</v>
      </c>
      <c r="F9" s="3" t="s">
        <v>16</v>
      </c>
      <c r="G9" s="3">
        <v>3800</v>
      </c>
      <c r="H9" s="3">
        <f t="shared" si="0"/>
        <v>30400</v>
      </c>
    </row>
    <row r="10" spans="1:8" x14ac:dyDescent="0.35">
      <c r="A10" s="3" t="s">
        <v>31</v>
      </c>
      <c r="B10" s="3" t="s">
        <v>32</v>
      </c>
      <c r="C10" s="3" t="s">
        <v>33</v>
      </c>
      <c r="D10" s="3" t="s">
        <v>34</v>
      </c>
      <c r="E10" s="3">
        <v>2</v>
      </c>
      <c r="F10" s="3" t="s">
        <v>16</v>
      </c>
      <c r="G10" s="3">
        <v>2200</v>
      </c>
      <c r="H10" s="3">
        <f t="shared" si="0"/>
        <v>4400</v>
      </c>
    </row>
    <row r="11" spans="1:8" x14ac:dyDescent="0.35">
      <c r="A11" s="3" t="s">
        <v>31</v>
      </c>
      <c r="B11" s="3" t="s">
        <v>32</v>
      </c>
      <c r="C11" s="3" t="s">
        <v>35</v>
      </c>
      <c r="D11" s="3" t="s">
        <v>36</v>
      </c>
      <c r="E11" s="3">
        <v>3</v>
      </c>
      <c r="F11" s="3" t="s">
        <v>11</v>
      </c>
      <c r="G11" s="3">
        <v>900</v>
      </c>
      <c r="H11" s="3">
        <f t="shared" si="0"/>
        <v>2700</v>
      </c>
    </row>
    <row r="12" spans="1:8" x14ac:dyDescent="0.35">
      <c r="A12" s="3" t="s">
        <v>37</v>
      </c>
      <c r="B12" s="3" t="s">
        <v>38</v>
      </c>
      <c r="C12" s="3" t="s">
        <v>39</v>
      </c>
      <c r="D12" s="3" t="s">
        <v>40</v>
      </c>
      <c r="E12" s="3">
        <v>1</v>
      </c>
      <c r="F12" s="3" t="s">
        <v>16</v>
      </c>
      <c r="G12" s="3">
        <v>3500</v>
      </c>
      <c r="H12" s="3">
        <f t="shared" si="0"/>
        <v>3500</v>
      </c>
    </row>
    <row r="13" spans="1:8" ht="15" thickBot="1" x14ac:dyDescent="0.4">
      <c r="A13" s="3" t="s">
        <v>37</v>
      </c>
      <c r="B13" s="3" t="s">
        <v>38</v>
      </c>
      <c r="C13" s="3" t="s">
        <v>41</v>
      </c>
      <c r="D13" s="3" t="s">
        <v>15</v>
      </c>
      <c r="E13" s="3">
        <v>4</v>
      </c>
      <c r="F13" s="3" t="s">
        <v>16</v>
      </c>
      <c r="G13" s="3">
        <v>6500</v>
      </c>
      <c r="H13" s="3">
        <f t="shared" si="0"/>
        <v>26000</v>
      </c>
    </row>
    <row r="14" spans="1:8" s="1" customFormat="1" ht="19.5" customHeight="1" thickBot="1" x14ac:dyDescent="0.4">
      <c r="D14" s="15" t="s">
        <v>44</v>
      </c>
      <c r="H14" s="16">
        <f>SUM(H2:H13)</f>
        <v>188800</v>
      </c>
    </row>
  </sheetData>
  <pageMargins left="0.7" right="0.7" top="0.75" bottom="0.75" header="0.3" footer="0.3"/>
  <ignoredErrors>
    <ignoredError sqref="H1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A8B2-9395-47A5-AF66-8CF0E904BA51}">
  <dimension ref="A1:G6"/>
  <sheetViews>
    <sheetView workbookViewId="0">
      <selection activeCell="F8" sqref="F8"/>
    </sheetView>
  </sheetViews>
  <sheetFormatPr defaultRowHeight="14.5" x14ac:dyDescent="0.35"/>
  <cols>
    <col min="1" max="1" width="8.26953125" bestFit="1" customWidth="1"/>
    <col min="2" max="2" width="25.54296875" bestFit="1" customWidth="1"/>
    <col min="3" max="3" width="20.1796875" customWidth="1"/>
    <col min="4" max="4" width="6.1796875" bestFit="1" customWidth="1"/>
    <col min="5" max="5" width="17" bestFit="1" customWidth="1"/>
    <col min="6" max="6" width="16.08984375" bestFit="1" customWidth="1"/>
    <col min="7" max="7" width="18.6328125" bestFit="1" customWidth="1"/>
  </cols>
  <sheetData>
    <row r="1" spans="1:7" ht="36.5" thickBot="1" x14ac:dyDescent="0.85">
      <c r="A1" s="11" t="s">
        <v>42</v>
      </c>
      <c r="B1" s="11"/>
      <c r="C1" s="11"/>
      <c r="D1" s="11"/>
      <c r="E1" s="11"/>
      <c r="F1" s="6" t="s">
        <v>43</v>
      </c>
      <c r="G1" s="6" t="s">
        <v>44</v>
      </c>
    </row>
    <row r="2" spans="1:7" ht="21.5" thickBot="1" x14ac:dyDescent="0.55000000000000004">
      <c r="A2" s="7" t="s">
        <v>45</v>
      </c>
      <c r="B2" s="12"/>
      <c r="C2" s="14" t="s">
        <v>8</v>
      </c>
      <c r="D2" s="13"/>
      <c r="E2" s="9">
        <f ca="1">TODAY()</f>
        <v>46310</v>
      </c>
      <c r="F2" s="8">
        <v>100</v>
      </c>
      <c r="G2" s="10">
        <f>SUM(G4:G44)</f>
        <v>3400000</v>
      </c>
    </row>
    <row r="3" spans="1:7" ht="37" x14ac:dyDescent="0.35">
      <c r="A3" s="4" t="s">
        <v>2</v>
      </c>
      <c r="B3" s="4" t="s">
        <v>3</v>
      </c>
      <c r="C3" s="4" t="s">
        <v>50</v>
      </c>
      <c r="D3" s="5" t="s">
        <v>5</v>
      </c>
      <c r="E3" s="5" t="s">
        <v>47</v>
      </c>
      <c r="F3" s="5" t="s">
        <v>48</v>
      </c>
      <c r="G3" s="4" t="s">
        <v>49</v>
      </c>
    </row>
    <row r="4" spans="1:7" ht="21" x14ac:dyDescent="0.5">
      <c r="A4" s="8" t="str" cm="1">
        <f t="array" ref="A4:D6">_xlfn._xlws.FILTER(Table1[[#All],[Part Code]:[Unit]],Table1[[#All],[Equipment Name]]=Bill_of_Material_Report!C2)</f>
        <v>SP001</v>
      </c>
      <c r="B4" s="8" t="str">
        <v>Mechanical seal kit</v>
      </c>
      <c r="C4" s="8">
        <v>1</v>
      </c>
      <c r="D4" s="8" t="str">
        <v>Set</v>
      </c>
      <c r="E4" s="8">
        <f>$F$2*C4</f>
        <v>100</v>
      </c>
      <c r="F4" s="8">
        <f>VLOOKUP(B4,Table1[[#All],[Material Description]:[Unit Cost (INR)]],4,FALSE)</f>
        <v>18000</v>
      </c>
      <c r="G4" s="8">
        <f>F4*E4</f>
        <v>1800000</v>
      </c>
    </row>
    <row r="5" spans="1:7" ht="21" x14ac:dyDescent="0.5">
      <c r="A5" s="8" t="str">
        <v>SP002</v>
      </c>
      <c r="B5" s="8" t="str">
        <v>Gasket set</v>
      </c>
      <c r="C5" s="8">
        <v>4</v>
      </c>
      <c r="D5" s="8" t="str">
        <v>Set</v>
      </c>
      <c r="E5" s="8">
        <f t="shared" ref="E5:E6" si="0">$F$2*C5</f>
        <v>400</v>
      </c>
      <c r="F5" s="8">
        <f>VLOOKUP(B5,Table1[[#All],[Material Description]:[Unit Cost (INR)]],4,FALSE)</f>
        <v>2500</v>
      </c>
      <c r="G5" s="8">
        <f t="shared" ref="G5" si="1">F5*E5</f>
        <v>1000000</v>
      </c>
    </row>
    <row r="6" spans="1:7" ht="21" x14ac:dyDescent="0.5">
      <c r="A6" s="8" t="str">
        <v>SP003</v>
      </c>
      <c r="B6" s="8" t="str">
        <v>Temperature sensor</v>
      </c>
      <c r="C6" s="8">
        <v>1</v>
      </c>
      <c r="D6" s="8" t="str">
        <v>Nos</v>
      </c>
      <c r="E6" s="8">
        <f t="shared" si="0"/>
        <v>100</v>
      </c>
      <c r="F6" s="8">
        <f>IFERROR(VLOOKUP(B6,Table1[[#All],[Material Description]:[Unit Cost (INR)]],4,FALSE),"")</f>
        <v>6000</v>
      </c>
      <c r="G6" s="8">
        <f>IFERROR(F6*E6,"")</f>
        <v>600000</v>
      </c>
    </row>
  </sheetData>
  <mergeCells count="2">
    <mergeCell ref="A1:E1"/>
    <mergeCell ref="A2: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5A6011-F692-4BF4-B6EB-5C4C14B5E16A}">
          <x14:formula1>
            <xm:f>Equipment_Summary!$B$1:$B$13</xm:f>
          </x14:formula1>
          <xm:sqref>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Equipment_Summary</vt:lpstr>
      <vt:lpstr>Bill_of_Material_Report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kotarajasekhar57@gmail.com</dc:creator>
  <cp:lastModifiedBy>kotarajasekhar57@gmail.com</cp:lastModifiedBy>
  <dcterms:created xsi:type="dcterms:W3CDTF">2026-10-15T08:39:11Z</dcterms:created>
  <dcterms:modified xsi:type="dcterms:W3CDTF">2026-10-15T11:53:43Z</dcterms:modified>
</cp:coreProperties>
</file>